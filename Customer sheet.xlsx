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1749a4d106341/Documents/CProgramDataMySQLMySQL Server 8.0Uploads/excel files/"/>
    </mc:Choice>
  </mc:AlternateContent>
  <xr:revisionPtr revIDLastSave="0" documentId="8_{7FEE75E5-9338-4A1B-ADBB-B777DBCF21D7}" xr6:coauthVersionLast="47" xr6:coauthVersionMax="47" xr10:uidLastSave="{00000000-0000-0000-0000-000000000000}"/>
  <bookViews>
    <workbookView xWindow="-108" yWindow="-108" windowWidth="23256" windowHeight="12456" xr2:uid="{D99AFCD3-E180-4F27-9BED-7E2A23632665}"/>
  </bookViews>
  <sheets>
    <sheet name="Customer Sheet" sheetId="1" r:id="rId1"/>
    <sheet name="Product sheet" sheetId="2" r:id="rId2"/>
    <sheet name="Sheet3" sheetId="3" r:id="rId3"/>
    <sheet name="Sheet9" sheetId="10" r:id="rId4"/>
    <sheet name="Orders Sheet" sheetId="4" r:id="rId5"/>
    <sheet name="Pivot Table" sheetId="9" r:id="rId6"/>
  </sheet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H2" i="4"/>
  <c r="I2" i="4" s="1"/>
  <c r="H3" i="4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F3" i="4"/>
  <c r="G3" i="4" s="1"/>
  <c r="J13" i="4" l="1"/>
  <c r="J12" i="4"/>
  <c r="J11" i="4"/>
  <c r="J8" i="4"/>
  <c r="J10" i="4"/>
  <c r="J9" i="4"/>
  <c r="J6" i="4"/>
  <c r="J4" i="4"/>
  <c r="J14" i="4"/>
  <c r="J7" i="4"/>
  <c r="J16" i="4"/>
  <c r="J2" i="4"/>
  <c r="J5" i="4"/>
  <c r="J15" i="4"/>
  <c r="I3" i="4"/>
  <c r="J3" i="4" s="1"/>
</calcChain>
</file>

<file path=xl/sharedStrings.xml><?xml version="1.0" encoding="utf-8"?>
<sst xmlns="http://schemas.openxmlformats.org/spreadsheetml/2006/main" count="182" uniqueCount="96">
  <si>
    <t>Customer_ID</t>
  </si>
  <si>
    <t>Customer_Name</t>
  </si>
  <si>
    <t>City</t>
  </si>
  <si>
    <t>Segment</t>
  </si>
  <si>
    <t>C101</t>
  </si>
  <si>
    <t>Rahul Shah</t>
  </si>
  <si>
    <t>Mumbai</t>
  </si>
  <si>
    <t>Corporate</t>
  </si>
  <si>
    <t>C102</t>
  </si>
  <si>
    <t>Priya Patel</t>
  </si>
  <si>
    <t>Pune</t>
  </si>
  <si>
    <t>Consumer</t>
  </si>
  <si>
    <t>C103</t>
  </si>
  <si>
    <t>Amit Kumar</t>
  </si>
  <si>
    <t>Delhi</t>
  </si>
  <si>
    <t>C104</t>
  </si>
  <si>
    <t>Neha Singh</t>
  </si>
  <si>
    <t>Bangalore</t>
  </si>
  <si>
    <t>C105</t>
  </si>
  <si>
    <t>Karan Mehta</t>
  </si>
  <si>
    <t>Hyderabad</t>
  </si>
  <si>
    <t>Home Office</t>
  </si>
  <si>
    <t>C106</t>
  </si>
  <si>
    <t>Sneha Joshi</t>
  </si>
  <si>
    <t>Nashik</t>
  </si>
  <si>
    <t>C107</t>
  </si>
  <si>
    <t>Vikram Desai</t>
  </si>
  <si>
    <t>Ahmedabad</t>
  </si>
  <si>
    <t>C108</t>
  </si>
  <si>
    <t>Pooja Verma</t>
  </si>
  <si>
    <t>Chennai</t>
  </si>
  <si>
    <t>C109</t>
  </si>
  <si>
    <t>Arjun Nair</t>
  </si>
  <si>
    <t>Kochi</t>
  </si>
  <si>
    <t>C110</t>
  </si>
  <si>
    <t>Riya Kapoor</t>
  </si>
  <si>
    <t>Kolkata</t>
  </si>
  <si>
    <t>Product_ID</t>
  </si>
  <si>
    <t>Product_Name</t>
  </si>
  <si>
    <t>Category</t>
  </si>
  <si>
    <t>Cost</t>
  </si>
  <si>
    <t>P001</t>
  </si>
  <si>
    <t>Laptop</t>
  </si>
  <si>
    <t>Electronics</t>
  </si>
  <si>
    <t>P002</t>
  </si>
  <si>
    <t>Smartphone</t>
  </si>
  <si>
    <t>P003</t>
  </si>
  <si>
    <t>Headphones</t>
  </si>
  <si>
    <t>P004</t>
  </si>
  <si>
    <t>Office Chair</t>
  </si>
  <si>
    <t>Furniture</t>
  </si>
  <si>
    <t>P005</t>
  </si>
  <si>
    <t>Study Table</t>
  </si>
  <si>
    <t>P006</t>
  </si>
  <si>
    <t>Printer</t>
  </si>
  <si>
    <t>P007</t>
  </si>
  <si>
    <t>Notebook Pack</t>
  </si>
  <si>
    <t>Stationery</t>
  </si>
  <si>
    <t>P008</t>
  </si>
  <si>
    <t>Pen Set</t>
  </si>
  <si>
    <t>P009</t>
  </si>
  <si>
    <t>Monitor</t>
  </si>
  <si>
    <t>P010</t>
  </si>
  <si>
    <t>Keyboard</t>
  </si>
  <si>
    <t>Region</t>
  </si>
  <si>
    <t>West</t>
  </si>
  <si>
    <t>North</t>
  </si>
  <si>
    <t>East</t>
  </si>
  <si>
    <t>South</t>
  </si>
  <si>
    <t>Order_ID</t>
  </si>
  <si>
    <t>Order_Date</t>
  </si>
  <si>
    <t>Quantity</t>
  </si>
  <si>
    <t>Sales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</si>
  <si>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</si>
  <si>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</si>
  <si>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</si>
  <si>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</si>
  <si>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</si>
  <si>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</si>
  <si>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</si>
  <si>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</si>
  <si>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</si>
  <si>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</si>
  <si>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</si>
  <si>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</si>
  <si>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</si>
  <si>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</si>
  <si>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</si>
  <si>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Revenue</t>
  </si>
  <si>
    <t>Profit</t>
  </si>
  <si>
    <t>Profit Margin</t>
  </si>
  <si>
    <t>Sum of Revenue</t>
  </si>
  <si>
    <t>Grand Total</t>
  </si>
  <si>
    <t>Product Name</t>
  </si>
  <si>
    <t>Sum of Profit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</si>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</sst>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0" fillId="0" borderId="0" xfId="0" pivotButton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sheet.xlsx]Sheet9!PivotTable4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540413114516885E-2"/>
          <c:y val="0.25865522018081066"/>
          <c:w val="0.76887231553942437"/>
          <c:h val="0.371770195392242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Notebook Pack</c:v>
                </c:pt>
                <c:pt idx="5">
                  <c:v>Office Chair</c:v>
                </c:pt>
                <c:pt idx="6">
                  <c:v>Pen Set</c:v>
                </c:pt>
                <c:pt idx="7">
                  <c:v>Printer</c:v>
                </c:pt>
                <c:pt idx="8">
                  <c:v>Smartphone</c:v>
                </c:pt>
                <c:pt idx="9">
                  <c:v>Study Table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7400</c:v>
                </c:pt>
                <c:pt idx="1">
                  <c:v>2000</c:v>
                </c:pt>
                <c:pt idx="2">
                  <c:v>21000</c:v>
                </c:pt>
                <c:pt idx="3">
                  <c:v>13000</c:v>
                </c:pt>
                <c:pt idx="4">
                  <c:v>1500</c:v>
                </c:pt>
                <c:pt idx="5">
                  <c:v>8100</c:v>
                </c:pt>
                <c:pt idx="6">
                  <c:v>1200</c:v>
                </c:pt>
                <c:pt idx="7">
                  <c:v>2500</c:v>
                </c:pt>
                <c:pt idx="8">
                  <c:v>78000</c:v>
                </c:pt>
                <c:pt idx="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E17-9EFF-6DDAD51A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17184"/>
        <c:axId val="1075436864"/>
      </c:barChart>
      <c:catAx>
        <c:axId val="10754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36864"/>
        <c:crosses val="autoZero"/>
        <c:auto val="1"/>
        <c:lblAlgn val="ctr"/>
        <c:lblOffset val="100"/>
        <c:noMultiLvlLbl val="0"/>
      </c:catAx>
      <c:valAx>
        <c:axId val="10754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sheet.xlsx]Pivot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77038290032204"/>
          <c:y val="0.16564596092155148"/>
          <c:w val="0.66755949190163633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Table'!$B$3</c:f>
              <c:numCache>
                <c:formatCode>General</c:formatCode>
                <c:ptCount val="1"/>
                <c:pt idx="0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C-41B2-BFFC-CA324CD5FC0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Table'!$C$3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C-41B2-BFFC-CA324CD5FC05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Table'!$D$3</c:f>
              <c:numCache>
                <c:formatCode>General</c:formatCode>
                <c:ptCount val="1"/>
                <c:pt idx="0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C-41B2-BFFC-CA324CD5FC05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Table'!$E$3</c:f>
              <c:numCache>
                <c:formatCode>General</c:formatCode>
                <c:ptCount val="1"/>
                <c:pt idx="0">
                  <c:v>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C-41B2-BFFC-CA324CD5FC05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Notebook Pack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Table'!$F$3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0C-41B2-BFFC-CA324CD5FC05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Office Chair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Table'!$G$3</c:f>
              <c:numCache>
                <c:formatCode>General</c:formatCode>
                <c:ptCount val="1"/>
                <c:pt idx="0">
                  <c:v>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C-41B2-BFFC-CA324CD5FC05}"/>
            </c:ext>
          </c:extLst>
        </c:ser>
        <c:ser>
          <c:idx val="6"/>
          <c:order val="6"/>
          <c:tx>
            <c:strRef>
              <c:f>'Pivot Table'!$H$1:$H$2</c:f>
              <c:strCache>
                <c:ptCount val="1"/>
                <c:pt idx="0">
                  <c:v>Pen Set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Table'!$H$3</c:f>
              <c:numCache>
                <c:formatCode>General</c:formatCode>
                <c:ptCount val="1"/>
                <c:pt idx="0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C-41B2-BFFC-CA324CD5FC05}"/>
            </c:ext>
          </c:extLst>
        </c:ser>
        <c:ser>
          <c:idx val="7"/>
          <c:order val="7"/>
          <c:tx>
            <c:strRef>
              <c:f>'Pivot Table'!$I$1:$I$2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Table'!$I$3</c:f>
              <c:numCache>
                <c:formatCode>General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0C-41B2-BFFC-CA324CD5FC05}"/>
            </c:ext>
          </c:extLst>
        </c:ser>
        <c:ser>
          <c:idx val="8"/>
          <c:order val="8"/>
          <c:tx>
            <c:strRef>
              <c:f>'Pivot Table'!$J$1:$J$2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Table'!$J$3</c:f>
              <c:numCache>
                <c:formatCode>General</c:formatCode>
                <c:ptCount val="1"/>
                <c:pt idx="0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0C-41B2-BFFC-CA324CD5FC05}"/>
            </c:ext>
          </c:extLst>
        </c:ser>
        <c:ser>
          <c:idx val="9"/>
          <c:order val="9"/>
          <c:tx>
            <c:strRef>
              <c:f>'Pivot Table'!$K$1:$K$2</c:f>
              <c:strCache>
                <c:ptCount val="1"/>
                <c:pt idx="0">
                  <c:v>Study Table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Table'!$K$3</c:f>
              <c:numCache>
                <c:formatCode>General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0C-41B2-BFFC-CA324CD5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29664"/>
        <c:axId val="1075417664"/>
      </c:barChart>
      <c:catAx>
        <c:axId val="10754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664"/>
        <c:crosses val="autoZero"/>
        <c:auto val="1"/>
        <c:lblAlgn val="ctr"/>
        <c:lblOffset val="100"/>
        <c:noMultiLvlLbl val="0"/>
      </c:catAx>
      <c:valAx>
        <c:axId val="10754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598170</xdr:colOff>
      <xdr:row>1</xdr:row>
      <xdr:rowOff>167640</xdr:rowOff>
    </xdr:from>
    <xdr:to>
      <xdr:col>10</xdr:col>
      <xdr:colOff>491490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A83B6-5F9B-9B64-06C1-7E471FE25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175260</xdr:rowOff>
    </xdr:from>
    <xdr:to>
      <xdr:col>9</xdr:col>
      <xdr:colOff>739140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46A4B-80DD-1A80-089E-596BDE11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988947916667" createdVersion="8" refreshedVersion="8" minRefreshableVersion="3" recordCount="15" xr:uid="{C9140EE5-0883-4211-8084-AF8725DE2AFF}">
  <cacheSource type="worksheet">
    <worksheetSource ref="A1:K16" sheet="Orders Sheet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1-16T00:00:00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15"/>
    </cacheField>
    <cacheField name="Sales" numFmtId="0">
      <sharedItems containsSemiMixedTypes="0" containsString="0" containsNumber="1" containsInteger="1" minValue="180" maxValue="56000"/>
    </cacheField>
    <cacheField name="Revenue" numFmtId="0">
      <sharedItems containsSemiMixedTypes="0" containsString="0" containsNumber="1" containsInteger="1" minValue="2700" maxValue="110000"/>
    </cacheField>
    <cacheField name="Cost" numFmtId="0">
      <sharedItems containsSemiMixedTypes="0" containsString="0" containsNumber="1" containsInteger="1" minValue="100" maxValue="45000"/>
    </cacheField>
    <cacheField name="Profit" numFmtId="0">
      <sharedItems containsSemiMixedTypes="0" containsString="0" containsNumber="1" containsInteger="1" minValue="1200" maxValue="74000"/>
    </cacheField>
    <cacheField name="Profit Margin" numFmtId="9">
      <sharedItems containsSemiMixedTypes="0" containsString="0" containsNumber="1" minValue="0.18181818181818182" maxValue="0.67272727272727273"/>
    </cacheField>
    <cacheField name="Product Name" numFmtId="0">
      <sharedItems count="10">
        <s v="Laptop"/>
        <s v="Smartphone"/>
        <s v="Headphones"/>
        <s v="Office Chair"/>
        <s v="Study Table"/>
        <s v="Printer"/>
        <s v="Monitor"/>
        <s v="Keyboard"/>
        <s v="Notebook Pack"/>
        <s v="Pe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1001"/>
    <d v="2025-01-01T00:00:00"/>
    <s v="C101"/>
    <s v="P001"/>
    <n v="1"/>
    <n v="55000"/>
    <n v="55000"/>
    <n v="45000"/>
    <n v="10000"/>
    <n v="0.18181818181818182"/>
    <x v="0"/>
  </r>
  <r>
    <s v="O1002"/>
    <d v="2025-01-02T00:00:00"/>
    <s v="C102"/>
    <s v="P002"/>
    <n v="2"/>
    <n v="55000"/>
    <n v="110000"/>
    <n v="18000"/>
    <n v="74000"/>
    <n v="0.67272727272727273"/>
    <x v="1"/>
  </r>
  <r>
    <s v="O1003"/>
    <d v="2025-01-03T00:00:00"/>
    <s v="C103"/>
    <s v="P003"/>
    <n v="3"/>
    <n v="2500"/>
    <n v="7500"/>
    <n v="1500"/>
    <n v="3000"/>
    <n v="0.4"/>
    <x v="2"/>
  </r>
  <r>
    <s v="O1004"/>
    <d v="2025-01-04T00:00:00"/>
    <s v="C104"/>
    <s v="P004"/>
    <n v="2"/>
    <n v="5000"/>
    <n v="10000"/>
    <n v="3500"/>
    <n v="3000"/>
    <n v="0.3"/>
    <x v="3"/>
  </r>
  <r>
    <s v="O1005"/>
    <d v="2025-01-05T00:00:00"/>
    <s v="C105"/>
    <s v="P005"/>
    <n v="1"/>
    <n v="8500"/>
    <n v="8500"/>
    <n v="6000"/>
    <n v="2500"/>
    <n v="0.29411764705882354"/>
    <x v="4"/>
  </r>
  <r>
    <s v="O1006"/>
    <d v="2025-01-06T00:00:00"/>
    <s v="C106"/>
    <s v="P006"/>
    <n v="1"/>
    <n v="9500"/>
    <n v="9500"/>
    <n v="7000"/>
    <n v="2500"/>
    <n v="0.26315789473684209"/>
    <x v="5"/>
  </r>
  <r>
    <s v="O1007"/>
    <d v="2025-01-07T00:00:00"/>
    <s v="C107"/>
    <s v="P009"/>
    <n v="2"/>
    <n v="15000"/>
    <n v="30000"/>
    <n v="12000"/>
    <n v="6000"/>
    <n v="0.2"/>
    <x v="6"/>
  </r>
  <r>
    <s v="O1008"/>
    <d v="2025-01-08T00:00:00"/>
    <s v="C108"/>
    <s v="P010"/>
    <n v="5"/>
    <n v="1200"/>
    <n v="6000"/>
    <n v="800"/>
    <n v="2000"/>
    <n v="0.33333333333333331"/>
    <x v="7"/>
  </r>
  <r>
    <s v="O1009"/>
    <d v="2025-01-09T00:00:00"/>
    <s v="C109"/>
    <s v="P007"/>
    <n v="10"/>
    <n v="350"/>
    <n v="3500"/>
    <n v="200"/>
    <n v="1500"/>
    <n v="0.42857142857142855"/>
    <x v="8"/>
  </r>
  <r>
    <s v="O1010"/>
    <d v="2025-01-10T00:00:00"/>
    <s v="C110"/>
    <s v="P008"/>
    <n v="15"/>
    <n v="180"/>
    <n v="2700"/>
    <n v="100"/>
    <n v="1200"/>
    <n v="0.44444444444444442"/>
    <x v="9"/>
  </r>
  <r>
    <s v="O1011"/>
    <d v="2025-01-11T00:00:00"/>
    <s v="C101"/>
    <s v="P002"/>
    <n v="1"/>
    <n v="22000"/>
    <n v="22000"/>
    <n v="18000"/>
    <n v="4000"/>
    <n v="0.18181818181818182"/>
    <x v="1"/>
  </r>
  <r>
    <s v="O1012"/>
    <d v="2025-01-12T00:00:00"/>
    <s v="C102"/>
    <s v="P001"/>
    <n v="1"/>
    <n v="56000"/>
    <n v="56000"/>
    <n v="45000"/>
    <n v="11000"/>
    <n v="0.19642857142857142"/>
    <x v="0"/>
  </r>
  <r>
    <s v="O1013"/>
    <d v="2025-01-13T00:00:00"/>
    <s v="C103"/>
    <s v="P009"/>
    <n v="2"/>
    <n v="15500"/>
    <n v="31000"/>
    <n v="12000"/>
    <n v="7000"/>
    <n v="0.22580645161290322"/>
    <x v="6"/>
  </r>
  <r>
    <s v="O1014"/>
    <d v="2025-01-14T00:00:00"/>
    <s v="C104"/>
    <s v="P004"/>
    <n v="3"/>
    <n v="5200"/>
    <n v="15600"/>
    <n v="3500"/>
    <n v="5100"/>
    <n v="0.32692307692307693"/>
    <x v="3"/>
  </r>
  <r>
    <s v="O1015"/>
    <d v="2025-01-15T00:00:00"/>
    <s v="C105"/>
    <s v="P003"/>
    <n v="4"/>
    <n v="2600"/>
    <n v="10400"/>
    <n v="1500"/>
    <n v="4400"/>
    <n v="0.423076923076923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F9447-F3BB-43AE-AE5D-18A22E4C84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axis="axisRow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745A8-F26E-4F63-9B14-0E9515FA44E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Product Name">
  <location ref="A1:L3" firstHeaderRow="1" firstDataRow="2" firstDataCol="1"/>
  <pivotFields count="11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Col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Items count="1">
    <i/>
  </rowItems>
  <colFields count="1">
    <field x="1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71E1-7CC1-487D-B75B-2C977E3F4499}" name="Table1" displayName="Table1" ref="A1:D11" totalsRowShown="0" headerRowDxfId="24" dataDxfId="23">
  <autoFilter ref="A1:D11" xr:uid="{6D1D71E1-7CC1-487D-B75B-2C977E3F4499}"/>
  <tableColumns count="4">
    <tableColumn id="1" xr3:uid="{BB2EC9BD-3660-4DE7-BE42-C636EBE1A2ED}" name="Customer_ID" dataDxfId="22"/>
    <tableColumn id="2" xr3:uid="{930A0BBC-3978-4D3C-BC2F-90383D0BEE16}" name="Customer_Name" dataDxfId="21"/>
    <tableColumn id="3" xr3:uid="{5F299144-5AF2-400D-9B32-7D39B9F0862B}" name="City" dataDxfId="20"/>
    <tableColumn id="4" xr3:uid="{3356840C-CC9C-4DE6-A219-03C6B3047E37}" name="Segme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ACA738-81B5-40B9-8DB9-DCE21201BB52}" name="Table7" displayName="Table7" ref="A1:D11" totalsRowShown="0" tableBorderDxfId="18">
  <autoFilter ref="A1:D11" xr:uid="{1BACA738-81B5-40B9-8DB9-DCE21201BB52}"/>
  <tableColumns count="4">
    <tableColumn id="1" xr3:uid="{E0DCAA07-1F77-4341-B7B4-1E22CE2C9246}" name="Product_ID" dataDxfId="17"/>
    <tableColumn id="2" xr3:uid="{53639C65-C6CA-4BA0-8819-34AE1F63181B}" name="Product_Name" dataDxfId="16"/>
    <tableColumn id="3" xr3:uid="{87B8D1CA-BF8B-4623-9BB6-4F30CEA07DD9}" name="Category" dataDxfId="15"/>
    <tableColumn id="4" xr3:uid="{9CFCCC12-6175-4FA3-A911-AF384F28473F}" name="Cos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9D267E-F966-45FD-9E70-857B55DA0919}" name="Table36" displayName="Table36" ref="A1:B11" totalsRowShown="0" headerRowDxfId="13" dataDxfId="12">
  <autoFilter ref="A1:B11" xr:uid="{ED9D267E-F966-45FD-9E70-857B55DA0919}"/>
  <tableColumns count="2">
    <tableColumn id="1" xr3:uid="{86AEE51E-6E3B-4D61-B06E-8A38AB27306E}" name="City" dataDxfId="11"/>
    <tableColumn id="2" xr3:uid="{5C3BB509-F940-4D1A-A1B4-615DC173F735}" name="Reg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0D2B2-370D-4AAF-80A1-E2ADE2BC37E6}" name="Table47" displayName="Table47" ref="A1:J16" totalsRowShown="0" headerRowDxfId="9">
  <autoFilter ref="A1:J16" xr:uid="{DA80D2B2-370D-4AAF-80A1-E2ADE2BC37E6}"/>
  <tableColumns count="10">
    <tableColumn id="1" xr3:uid="{1652D6A6-F81C-4933-A930-B99584067FCD}" name="Order_ID" dataDxfId="8"/>
    <tableColumn id="2" xr3:uid="{B874128A-2044-4477-9DC4-F342E0A0A1FD}" name="Order_Date" dataDxfId="7"/>
    <tableColumn id="3" xr3:uid="{FCDE8FA5-12A2-4D01-B3F5-66F906B9C922}" name="Customer_ID" dataDxfId="6"/>
    <tableColumn id="4" xr3:uid="{2729E18D-8800-4DB9-986E-3375BCB763B8}" name="Product_ID" dataDxfId="5"/>
    <tableColumn id="5" xr3:uid="{1B1E1BFB-3707-4C08-8C5C-5A74E3CAD49E}" name="Quantity" dataDxfId="4"/>
    <tableColumn id="6" xr3:uid="{81215069-1071-4606-A1B9-BFC3610B00DF}" name="Sales" dataDxfId="3"/>
    <tableColumn id="7" xr3:uid="{29170B8C-E057-4033-AC70-6E0ADB8E2296}" name="Revenue" dataDxfId="2">
      <calculatedColumnFormula>F2*E2</calculatedColumnFormula>
    </tableColumn>
    <tableColumn id="8" xr3:uid="{54F1A016-3AA1-49CD-B096-C98418C829E6}" name="Cost" dataDxfId="1">
      <calculatedColumnFormula>_xlfn.XLOOKUP(D2,'Product sheet'!A:A,'Product sheet'!D:D)</calculatedColumnFormula>
    </tableColumn>
    <tableColumn id="9" xr3:uid="{65C8D769-1F71-4875-8AEC-621822154D38}" name="Profit" dataDxfId="0">
      <calculatedColumnFormula>(F2-H2)*E2</calculatedColumnFormula>
    </tableColumn>
    <tableColumn id="10" xr3:uid="{58BDAB2F-1DB9-4BC3-8CAA-49648E2E9249}" name="Profit Margin" dataCellStyle="Percent">
      <calculatedColumnFormula>I2/G2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0DDE3B-164E-4A4A-832A-3B97DCBAFBA5}" name="Table9" displayName="Table9" ref="K1:K16" totalsRowShown="0">
  <autoFilter ref="K1:K16" xr:uid="{080DDE3B-164E-4A4A-832A-3B97DCBAFBA5}"/>
  <tableColumns count="1">
    <tableColumn id="1" xr3:uid="{AC61E84F-4BFF-45AB-A77E-9E556A598F6C}" name="Product Name">
      <calculatedColumnFormula>_xlfn.XLOOKUP(D2,'Product sheet'!A:A,'Product sheet'!B:B)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7ACA-07DC-4E55-922E-995B94A0B08B}">
  <dimension ref="A1:O19"/>
  <sheetViews>
    <sheetView tabSelected="1" zoomScale="139" zoomScaleNormal="70" workbookViewId="0">
      <selection sqref="A1:A1048576"/>
    </sheetView>
  </sheetViews>
  <sheetFormatPr defaultRowHeight="14.4" x14ac:dyDescent="0.3"/>
  <cols>
    <col min="1" max="1" width="13.77734375" customWidth="1"/>
    <col min="2" max="2" width="18.77734375" customWidth="1"/>
    <col min="3" max="3" width="12.88671875" customWidth="1"/>
    <col min="4" max="4" width="14.77734375" customWidth="1"/>
    <col min="6" max="6" width="12.33203125" customWidth="1"/>
    <col min="7" max="7" width="15.5546875" customWidth="1"/>
    <col min="8" max="8" width="10.44140625" customWidth="1"/>
    <col min="11" max="11" width="12.5546875" customWidth="1"/>
    <col min="12" max="12" width="10.44140625" customWidth="1"/>
    <col min="14" max="14" width="10.44140625" customWidth="1"/>
    <col min="15" max="15" width="12.5546875" customWidth="1"/>
    <col min="16" max="16" width="13.77734375" customWidth="1"/>
    <col min="17" max="17" width="12.6640625" customWidth="1"/>
    <col min="18" max="18" width="1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">
      <c r="A7" s="2" t="s">
        <v>22</v>
      </c>
      <c r="B7" s="2" t="s">
        <v>23</v>
      </c>
      <c r="C7" s="2" t="s">
        <v>24</v>
      </c>
      <c r="D7" s="2" t="s">
        <v>11</v>
      </c>
    </row>
    <row r="8" spans="1:4" x14ac:dyDescent="0.3">
      <c r="A8" s="2" t="s">
        <v>25</v>
      </c>
      <c r="B8" s="2" t="s">
        <v>26</v>
      </c>
      <c r="C8" s="2" t="s">
        <v>27</v>
      </c>
      <c r="D8" s="2" t="s">
        <v>7</v>
      </c>
    </row>
    <row r="9" spans="1:4" x14ac:dyDescent="0.3">
      <c r="A9" s="2" t="s">
        <v>28</v>
      </c>
      <c r="B9" s="2" t="s">
        <v>29</v>
      </c>
      <c r="C9" s="2" t="s">
        <v>30</v>
      </c>
      <c r="D9" s="2" t="s">
        <v>11</v>
      </c>
    </row>
    <row r="10" spans="1:4" x14ac:dyDescent="0.3">
      <c r="A10" s="2" t="s">
        <v>31</v>
      </c>
      <c r="B10" s="2" t="s">
        <v>32</v>
      </c>
      <c r="C10" s="2" t="s">
        <v>33</v>
      </c>
      <c r="D10" s="2" t="s">
        <v>21</v>
      </c>
    </row>
    <row r="11" spans="1:4" x14ac:dyDescent="0.3">
      <c r="A11" s="2" t="s">
        <v>34</v>
      </c>
      <c r="B11" s="2" t="s">
        <v>35</v>
      </c>
      <c r="C11" s="2" t="s">
        <v>36</v>
      </c>
      <c r="D11" s="2" t="s">
        <v>7</v>
      </c>
    </row>
    <row r="19" spans="15:15" x14ac:dyDescent="0.3">
      <c r="O1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707-533B-4556-AB26-D9F904E5A8FA}">
  <dimension ref="A1:D11"/>
  <sheetViews>
    <sheetView workbookViewId="0">
      <selection activeCell="F16" sqref="F16"/>
    </sheetView>
  </sheetViews>
  <sheetFormatPr defaultRowHeight="14.4" x14ac:dyDescent="0.3"/>
  <cols>
    <col min="1" max="1" width="12.33203125" customWidth="1"/>
    <col min="2" max="2" width="15.5546875" customWidth="1"/>
    <col min="3" max="3" width="10.77734375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s="6" t="s">
        <v>41</v>
      </c>
      <c r="B2" s="7" t="s">
        <v>42</v>
      </c>
      <c r="C2" s="7" t="s">
        <v>43</v>
      </c>
      <c r="D2" s="8">
        <v>45000</v>
      </c>
    </row>
    <row r="3" spans="1:4" ht="28.8" x14ac:dyDescent="0.3">
      <c r="A3" s="9" t="s">
        <v>44</v>
      </c>
      <c r="B3" s="10" t="s">
        <v>45</v>
      </c>
      <c r="C3" s="10" t="s">
        <v>43</v>
      </c>
      <c r="D3" s="11">
        <v>18000</v>
      </c>
    </row>
    <row r="4" spans="1:4" ht="28.8" x14ac:dyDescent="0.3">
      <c r="A4" s="6" t="s">
        <v>46</v>
      </c>
      <c r="B4" s="7" t="s">
        <v>47</v>
      </c>
      <c r="C4" s="7" t="s">
        <v>43</v>
      </c>
      <c r="D4" s="8">
        <v>1500</v>
      </c>
    </row>
    <row r="5" spans="1:4" ht="28.8" x14ac:dyDescent="0.3">
      <c r="A5" s="9" t="s">
        <v>48</v>
      </c>
      <c r="B5" s="10" t="s">
        <v>49</v>
      </c>
      <c r="C5" s="10" t="s">
        <v>50</v>
      </c>
      <c r="D5" s="11">
        <v>3500</v>
      </c>
    </row>
    <row r="6" spans="1:4" ht="28.8" x14ac:dyDescent="0.3">
      <c r="A6" s="6" t="s">
        <v>51</v>
      </c>
      <c r="B6" s="7" t="s">
        <v>52</v>
      </c>
      <c r="C6" s="7" t="s">
        <v>50</v>
      </c>
      <c r="D6" s="8">
        <v>6000</v>
      </c>
    </row>
    <row r="7" spans="1:4" ht="28.8" x14ac:dyDescent="0.3">
      <c r="A7" s="9" t="s">
        <v>53</v>
      </c>
      <c r="B7" s="10" t="s">
        <v>54</v>
      </c>
      <c r="C7" s="10" t="s">
        <v>43</v>
      </c>
      <c r="D7" s="11">
        <v>7000</v>
      </c>
    </row>
    <row r="8" spans="1:4" ht="28.8" x14ac:dyDescent="0.3">
      <c r="A8" s="6" t="s">
        <v>55</v>
      </c>
      <c r="B8" s="7" t="s">
        <v>56</v>
      </c>
      <c r="C8" s="7" t="s">
        <v>57</v>
      </c>
      <c r="D8" s="8">
        <v>200</v>
      </c>
    </row>
    <row r="9" spans="1:4" x14ac:dyDescent="0.3">
      <c r="A9" s="9" t="s">
        <v>58</v>
      </c>
      <c r="B9" s="10" t="s">
        <v>59</v>
      </c>
      <c r="C9" s="10" t="s">
        <v>57</v>
      </c>
      <c r="D9" s="11">
        <v>100</v>
      </c>
    </row>
    <row r="10" spans="1:4" x14ac:dyDescent="0.3">
      <c r="A10" s="6" t="s">
        <v>60</v>
      </c>
      <c r="B10" s="7" t="s">
        <v>61</v>
      </c>
      <c r="C10" s="7" t="s">
        <v>43</v>
      </c>
      <c r="D10" s="8">
        <v>12000</v>
      </c>
    </row>
    <row r="11" spans="1:4" x14ac:dyDescent="0.3">
      <c r="A11" s="12" t="s">
        <v>62</v>
      </c>
      <c r="B11" s="13" t="s">
        <v>63</v>
      </c>
      <c r="C11" s="13" t="s">
        <v>43</v>
      </c>
      <c r="D11" s="14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FB0-EAA0-4FFA-839F-B26B504F5930}">
  <dimension ref="A1:B11"/>
  <sheetViews>
    <sheetView workbookViewId="0">
      <selection activeCell="G17" sqref="G17"/>
    </sheetView>
  </sheetViews>
  <sheetFormatPr defaultRowHeight="14.4" x14ac:dyDescent="0.3"/>
  <cols>
    <col min="1" max="1" width="10.88671875" customWidth="1"/>
    <col min="2" max="2" width="13.5546875" customWidth="1"/>
  </cols>
  <sheetData>
    <row r="1" spans="1:2" x14ac:dyDescent="0.3">
      <c r="A1" s="1" t="s">
        <v>2</v>
      </c>
      <c r="B1" s="1" t="s">
        <v>64</v>
      </c>
    </row>
    <row r="2" spans="1:2" x14ac:dyDescent="0.3">
      <c r="A2" s="2" t="s">
        <v>6</v>
      </c>
      <c r="B2" s="2" t="s">
        <v>65</v>
      </c>
    </row>
    <row r="3" spans="1:2" x14ac:dyDescent="0.3">
      <c r="A3" s="2" t="s">
        <v>10</v>
      </c>
      <c r="B3" s="2" t="s">
        <v>65</v>
      </c>
    </row>
    <row r="4" spans="1:2" x14ac:dyDescent="0.3">
      <c r="A4" s="2" t="s">
        <v>24</v>
      </c>
      <c r="B4" s="2" t="s">
        <v>65</v>
      </c>
    </row>
    <row r="5" spans="1:2" ht="28.8" x14ac:dyDescent="0.3">
      <c r="A5" s="2" t="s">
        <v>27</v>
      </c>
      <c r="B5" s="2" t="s">
        <v>65</v>
      </c>
    </row>
    <row r="6" spans="1:2" x14ac:dyDescent="0.3">
      <c r="A6" s="2" t="s">
        <v>14</v>
      </c>
      <c r="B6" s="2" t="s">
        <v>66</v>
      </c>
    </row>
    <row r="7" spans="1:2" x14ac:dyDescent="0.3">
      <c r="A7" s="2" t="s">
        <v>36</v>
      </c>
      <c r="B7" s="2" t="s">
        <v>67</v>
      </c>
    </row>
    <row r="8" spans="1:2" ht="28.8" x14ac:dyDescent="0.3">
      <c r="A8" s="2" t="s">
        <v>17</v>
      </c>
      <c r="B8" s="2" t="s">
        <v>68</v>
      </c>
    </row>
    <row r="9" spans="1:2" x14ac:dyDescent="0.3">
      <c r="A9" s="2" t="s">
        <v>30</v>
      </c>
      <c r="B9" s="2" t="s">
        <v>68</v>
      </c>
    </row>
    <row r="10" spans="1:2" ht="28.8" x14ac:dyDescent="0.3">
      <c r="A10" s="2" t="s">
        <v>20</v>
      </c>
      <c r="B10" s="2" t="s">
        <v>68</v>
      </c>
    </row>
    <row r="11" spans="1:2" x14ac:dyDescent="0.3">
      <c r="A11" s="2" t="s">
        <v>33</v>
      </c>
      <c r="B11" s="2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35D-A351-450C-9E61-2756F52201A6}">
  <dimension ref="A3:B14"/>
  <sheetViews>
    <sheetView workbookViewId="0">
      <selection activeCell="E22" sqref="E22"/>
    </sheetView>
  </sheetViews>
  <sheetFormatPr defaultRowHeight="14.4" x14ac:dyDescent="0.3"/>
  <cols>
    <col min="1" max="1" width="13.5546875" bestFit="1" customWidth="1"/>
    <col min="2" max="2" width="12.109375" bestFit="1" customWidth="1"/>
    <col min="3" max="3" width="9.109375" bestFit="1" customWidth="1"/>
    <col min="4" max="4" width="6.88671875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3" spans="1:2" x14ac:dyDescent="0.3">
      <c r="A3" s="17" t="s">
        <v>95</v>
      </c>
      <c r="B3" t="s">
        <v>94</v>
      </c>
    </row>
    <row r="4" spans="1:2" x14ac:dyDescent="0.3">
      <c r="A4" s="4" t="s">
        <v>47</v>
      </c>
      <c r="B4">
        <v>7400</v>
      </c>
    </row>
    <row r="5" spans="1:2" x14ac:dyDescent="0.3">
      <c r="A5" s="4" t="s">
        <v>63</v>
      </c>
      <c r="B5">
        <v>2000</v>
      </c>
    </row>
    <row r="6" spans="1:2" x14ac:dyDescent="0.3">
      <c r="A6" s="4" t="s">
        <v>42</v>
      </c>
      <c r="B6">
        <v>21000</v>
      </c>
    </row>
    <row r="7" spans="1:2" x14ac:dyDescent="0.3">
      <c r="A7" s="4" t="s">
        <v>61</v>
      </c>
      <c r="B7">
        <v>13000</v>
      </c>
    </row>
    <row r="8" spans="1:2" x14ac:dyDescent="0.3">
      <c r="A8" s="4" t="s">
        <v>56</v>
      </c>
      <c r="B8">
        <v>1500</v>
      </c>
    </row>
    <row r="9" spans="1:2" x14ac:dyDescent="0.3">
      <c r="A9" s="4" t="s">
        <v>49</v>
      </c>
      <c r="B9">
        <v>8100</v>
      </c>
    </row>
    <row r="10" spans="1:2" x14ac:dyDescent="0.3">
      <c r="A10" s="4" t="s">
        <v>59</v>
      </c>
      <c r="B10">
        <v>1200</v>
      </c>
    </row>
    <row r="11" spans="1:2" x14ac:dyDescent="0.3">
      <c r="A11" s="4" t="s">
        <v>54</v>
      </c>
      <c r="B11">
        <v>2500</v>
      </c>
    </row>
    <row r="12" spans="1:2" x14ac:dyDescent="0.3">
      <c r="A12" s="4" t="s">
        <v>45</v>
      </c>
      <c r="B12">
        <v>78000</v>
      </c>
    </row>
    <row r="13" spans="1:2" x14ac:dyDescent="0.3">
      <c r="A13" s="4" t="s">
        <v>52</v>
      </c>
      <c r="B13">
        <v>2500</v>
      </c>
    </row>
    <row r="14" spans="1:2" x14ac:dyDescent="0.3">
      <c r="A14" s="4" t="s">
        <v>92</v>
      </c>
      <c r="B14">
        <v>137200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C81B-6FA9-4865-BFDB-C886DEFD41E5}">
  <dimension ref="A1:K16"/>
  <sheetViews>
    <sheetView workbookViewId="0">
      <selection sqref="A1:L16"/>
    </sheetView>
  </sheetViews>
  <sheetFormatPr defaultRowHeight="14.4" x14ac:dyDescent="0.3"/>
  <cols>
    <col min="2" max="2" width="13.33203125" customWidth="1"/>
    <col min="3" max="3" width="13.21875" customWidth="1"/>
    <col min="4" max="4" width="11.5546875" customWidth="1"/>
    <col min="10" max="10" width="8.88671875" style="16"/>
    <col min="11" max="11" width="14.5546875" customWidth="1"/>
  </cols>
  <sheetData>
    <row r="1" spans="1:11" ht="28.8" x14ac:dyDescent="0.3">
      <c r="A1" s="1" t="s">
        <v>69</v>
      </c>
      <c r="B1" s="1" t="s">
        <v>70</v>
      </c>
      <c r="C1" s="1" t="s">
        <v>0</v>
      </c>
      <c r="D1" s="1" t="s">
        <v>37</v>
      </c>
      <c r="E1" s="1" t="s">
        <v>71</v>
      </c>
      <c r="F1" s="1" t="s">
        <v>72</v>
      </c>
      <c r="G1" s="1" t="s">
        <v>88</v>
      </c>
      <c r="H1" s="1" t="s">
        <v>40</v>
      </c>
      <c r="I1" s="1" t="s">
        <v>89</v>
      </c>
      <c r="J1" s="15" t="s">
        <v>90</v>
      </c>
      <c r="K1" t="s">
        <v>93</v>
      </c>
    </row>
    <row r="2" spans="1:11" x14ac:dyDescent="0.3">
      <c r="A2" s="2" t="s">
        <v>73</v>
      </c>
      <c r="B2" s="3">
        <v>45658</v>
      </c>
      <c r="C2" s="2" t="s">
        <v>4</v>
      </c>
      <c r="D2" s="2" t="s">
        <v>41</v>
      </c>
      <c r="E2" s="5">
        <v>1</v>
      </c>
      <c r="F2" s="5">
        <v>55000</v>
      </c>
      <c r="G2">
        <f t="shared" ref="G2:G16" si="0">F2*E2</f>
        <v>55000</v>
      </c>
      <c r="H2">
        <f>_xlfn.XLOOKUP(D2,'Product sheet'!A:A,'Product sheet'!D:D)</f>
        <v>45000</v>
      </c>
      <c r="I2">
        <f t="shared" ref="I2:I16" si="1">(F2-H2)*E2</f>
        <v>10000</v>
      </c>
      <c r="J2" s="16">
        <f t="shared" ref="J2:J16" si="2">I2/G2</f>
        <v>0.18181818181818182</v>
      </c>
      <c r="K2" t="str">
        <f>_xlfn.XLOOKUP(D2,'Product sheet'!A:A,'Product sheet'!B:B)</f>
        <v>Laptop</v>
      </c>
    </row>
    <row r="3" spans="1:11" x14ac:dyDescent="0.3">
      <c r="A3" s="2" t="s">
        <v>74</v>
      </c>
      <c r="B3" s="3">
        <v>45659</v>
      </c>
      <c r="C3" s="2" t="s">
        <v>8</v>
      </c>
      <c r="D3" s="2" t="s">
        <v>44</v>
      </c>
      <c r="E3" s="5">
        <v>2</v>
      </c>
      <c r="F3" s="5">
        <f>SUBTOTAL(109,F2)</f>
        <v>55000</v>
      </c>
      <c r="G3">
        <f t="shared" si="0"/>
        <v>110000</v>
      </c>
      <c r="H3">
        <f>_xlfn.XLOOKUP(D3,'Product sheet'!A:A,'Product sheet'!D:D)</f>
        <v>18000</v>
      </c>
      <c r="I3">
        <f t="shared" si="1"/>
        <v>74000</v>
      </c>
      <c r="J3" s="16">
        <f t="shared" si="2"/>
        <v>0.67272727272727273</v>
      </c>
      <c r="K3" t="str">
        <f>_xlfn.XLOOKUP(D3,'Product sheet'!A:A,'Product sheet'!B:B)</f>
        <v>Smartphone</v>
      </c>
    </row>
    <row r="4" spans="1:11" x14ac:dyDescent="0.3">
      <c r="A4" s="2" t="s">
        <v>75</v>
      </c>
      <c r="B4" s="3">
        <v>45660</v>
      </c>
      <c r="C4" s="2" t="s">
        <v>12</v>
      </c>
      <c r="D4" s="2" t="s">
        <v>46</v>
      </c>
      <c r="E4" s="5">
        <v>3</v>
      </c>
      <c r="F4" s="5">
        <v>2500</v>
      </c>
      <c r="G4">
        <f t="shared" si="0"/>
        <v>7500</v>
      </c>
      <c r="H4">
        <f>_xlfn.XLOOKUP(D4,'Product sheet'!A:A,'Product sheet'!D:D)</f>
        <v>1500</v>
      </c>
      <c r="I4">
        <f t="shared" si="1"/>
        <v>3000</v>
      </c>
      <c r="J4" s="16">
        <f t="shared" si="2"/>
        <v>0.4</v>
      </c>
      <c r="K4" t="str">
        <f>_xlfn.XLOOKUP(D4,'Product sheet'!A:A,'Product sheet'!B:B)</f>
        <v>Headphones</v>
      </c>
    </row>
    <row r="5" spans="1:11" x14ac:dyDescent="0.3">
      <c r="A5" s="2" t="s">
        <v>76</v>
      </c>
      <c r="B5" s="3">
        <v>45661</v>
      </c>
      <c r="C5" s="2" t="s">
        <v>15</v>
      </c>
      <c r="D5" s="2" t="s">
        <v>48</v>
      </c>
      <c r="E5" s="5">
        <v>2</v>
      </c>
      <c r="F5" s="5">
        <v>5000</v>
      </c>
      <c r="G5">
        <f t="shared" si="0"/>
        <v>10000</v>
      </c>
      <c r="H5">
        <f>_xlfn.XLOOKUP(D5,'Product sheet'!A:A,'Product sheet'!D:D)</f>
        <v>3500</v>
      </c>
      <c r="I5">
        <f t="shared" si="1"/>
        <v>3000</v>
      </c>
      <c r="J5" s="16">
        <f t="shared" si="2"/>
        <v>0.3</v>
      </c>
      <c r="K5" t="str">
        <f>_xlfn.XLOOKUP(D5,'Product sheet'!A:A,'Product sheet'!B:B)</f>
        <v>Office Chair</v>
      </c>
    </row>
    <row r="6" spans="1:11" x14ac:dyDescent="0.3">
      <c r="A6" s="2" t="s">
        <v>77</v>
      </c>
      <c r="B6" s="3">
        <v>45662</v>
      </c>
      <c r="C6" s="2" t="s">
        <v>18</v>
      </c>
      <c r="D6" s="2" t="s">
        <v>51</v>
      </c>
      <c r="E6" s="5">
        <v>1</v>
      </c>
      <c r="F6" s="5">
        <v>8500</v>
      </c>
      <c r="G6">
        <f t="shared" si="0"/>
        <v>8500</v>
      </c>
      <c r="H6">
        <f>_xlfn.XLOOKUP(D6,'Product sheet'!A:A,'Product sheet'!D:D)</f>
        <v>6000</v>
      </c>
      <c r="I6">
        <f t="shared" si="1"/>
        <v>2500</v>
      </c>
      <c r="J6" s="16">
        <f t="shared" si="2"/>
        <v>0.29411764705882354</v>
      </c>
      <c r="K6" t="str">
        <f>_xlfn.XLOOKUP(D6,'Product sheet'!A:A,'Product sheet'!B:B)</f>
        <v>Study Table</v>
      </c>
    </row>
    <row r="7" spans="1:11" x14ac:dyDescent="0.3">
      <c r="A7" s="2" t="s">
        <v>78</v>
      </c>
      <c r="B7" s="3">
        <v>45663</v>
      </c>
      <c r="C7" s="2" t="s">
        <v>22</v>
      </c>
      <c r="D7" s="2" t="s">
        <v>53</v>
      </c>
      <c r="E7" s="5">
        <v>1</v>
      </c>
      <c r="F7" s="5">
        <v>9500</v>
      </c>
      <c r="G7">
        <f t="shared" si="0"/>
        <v>9500</v>
      </c>
      <c r="H7">
        <f>_xlfn.XLOOKUP(D7,'Product sheet'!A:A,'Product sheet'!D:D)</f>
        <v>7000</v>
      </c>
      <c r="I7">
        <f t="shared" si="1"/>
        <v>2500</v>
      </c>
      <c r="J7" s="16">
        <f t="shared" si="2"/>
        <v>0.26315789473684209</v>
      </c>
      <c r="K7" t="str">
        <f>_xlfn.XLOOKUP(D7,'Product sheet'!A:A,'Product sheet'!B:B)</f>
        <v>Printer</v>
      </c>
    </row>
    <row r="8" spans="1:11" x14ac:dyDescent="0.3">
      <c r="A8" s="2" t="s">
        <v>79</v>
      </c>
      <c r="B8" s="3">
        <v>45664</v>
      </c>
      <c r="C8" s="2" t="s">
        <v>25</v>
      </c>
      <c r="D8" s="2" t="s">
        <v>60</v>
      </c>
      <c r="E8" s="5">
        <v>2</v>
      </c>
      <c r="F8" s="5">
        <v>15000</v>
      </c>
      <c r="G8">
        <f t="shared" si="0"/>
        <v>30000</v>
      </c>
      <c r="H8">
        <f>_xlfn.XLOOKUP(D8,'Product sheet'!A:A,'Product sheet'!D:D)</f>
        <v>12000</v>
      </c>
      <c r="I8">
        <f t="shared" si="1"/>
        <v>6000</v>
      </c>
      <c r="J8" s="16">
        <f t="shared" si="2"/>
        <v>0.2</v>
      </c>
      <c r="K8" t="str">
        <f>_xlfn.XLOOKUP(D8,'Product sheet'!A:A,'Product sheet'!B:B)</f>
        <v>Monitor</v>
      </c>
    </row>
    <row r="9" spans="1:11" x14ac:dyDescent="0.3">
      <c r="A9" s="2" t="s">
        <v>80</v>
      </c>
      <c r="B9" s="3">
        <v>45665</v>
      </c>
      <c r="C9" s="2" t="s">
        <v>28</v>
      </c>
      <c r="D9" s="2" t="s">
        <v>62</v>
      </c>
      <c r="E9" s="5">
        <v>5</v>
      </c>
      <c r="F9" s="5">
        <v>1200</v>
      </c>
      <c r="G9">
        <f t="shared" si="0"/>
        <v>6000</v>
      </c>
      <c r="H9">
        <f>_xlfn.XLOOKUP(D9,'Product sheet'!A:A,'Product sheet'!D:D)</f>
        <v>800</v>
      </c>
      <c r="I9">
        <f t="shared" si="1"/>
        <v>2000</v>
      </c>
      <c r="J9" s="16">
        <f t="shared" si="2"/>
        <v>0.33333333333333331</v>
      </c>
      <c r="K9" t="str">
        <f>_xlfn.XLOOKUP(D9,'Product sheet'!A:A,'Product sheet'!B:B)</f>
        <v>Keyboard</v>
      </c>
    </row>
    <row r="10" spans="1:11" x14ac:dyDescent="0.3">
      <c r="A10" s="2" t="s">
        <v>81</v>
      </c>
      <c r="B10" s="3">
        <v>45666</v>
      </c>
      <c r="C10" s="2" t="s">
        <v>31</v>
      </c>
      <c r="D10" s="2" t="s">
        <v>55</v>
      </c>
      <c r="E10" s="5">
        <v>10</v>
      </c>
      <c r="F10" s="5">
        <v>350</v>
      </c>
      <c r="G10">
        <f t="shared" si="0"/>
        <v>3500</v>
      </c>
      <c r="H10">
        <f>_xlfn.XLOOKUP(D10,'Product sheet'!A:A,'Product sheet'!D:D)</f>
        <v>200</v>
      </c>
      <c r="I10">
        <f t="shared" si="1"/>
        <v>1500</v>
      </c>
      <c r="J10" s="16">
        <f t="shared" si="2"/>
        <v>0.42857142857142855</v>
      </c>
      <c r="K10" t="str">
        <f>_xlfn.XLOOKUP(D10,'Product sheet'!A:A,'Product sheet'!B:B)</f>
        <v>Notebook Pack</v>
      </c>
    </row>
    <row r="11" spans="1:11" x14ac:dyDescent="0.3">
      <c r="A11" s="2" t="s">
        <v>82</v>
      </c>
      <c r="B11" s="3">
        <v>45667</v>
      </c>
      <c r="C11" s="2" t="s">
        <v>34</v>
      </c>
      <c r="D11" s="2" t="s">
        <v>58</v>
      </c>
      <c r="E11" s="5">
        <v>15</v>
      </c>
      <c r="F11" s="5">
        <v>180</v>
      </c>
      <c r="G11">
        <f t="shared" si="0"/>
        <v>2700</v>
      </c>
      <c r="H11">
        <f>_xlfn.XLOOKUP(D11,'Product sheet'!A:A,'Product sheet'!D:D)</f>
        <v>100</v>
      </c>
      <c r="I11">
        <f t="shared" si="1"/>
        <v>1200</v>
      </c>
      <c r="J11" s="16">
        <f t="shared" si="2"/>
        <v>0.44444444444444442</v>
      </c>
      <c r="K11" t="str">
        <f>_xlfn.XLOOKUP(D11,'Product sheet'!A:A,'Product sheet'!B:B)</f>
        <v>Pen Set</v>
      </c>
    </row>
    <row r="12" spans="1:11" x14ac:dyDescent="0.3">
      <c r="A12" s="2" t="s">
        <v>83</v>
      </c>
      <c r="B12" s="3">
        <v>45668</v>
      </c>
      <c r="C12" s="2" t="s">
        <v>4</v>
      </c>
      <c r="D12" s="2" t="s">
        <v>44</v>
      </c>
      <c r="E12" s="5">
        <v>1</v>
      </c>
      <c r="F12" s="5">
        <v>22000</v>
      </c>
      <c r="G12">
        <f t="shared" si="0"/>
        <v>22000</v>
      </c>
      <c r="H12">
        <f>_xlfn.XLOOKUP(D12,'Product sheet'!A:A,'Product sheet'!D:D)</f>
        <v>18000</v>
      </c>
      <c r="I12">
        <f t="shared" si="1"/>
        <v>4000</v>
      </c>
      <c r="J12" s="16">
        <f t="shared" si="2"/>
        <v>0.18181818181818182</v>
      </c>
      <c r="K12" t="str">
        <f>_xlfn.XLOOKUP(D12,'Product sheet'!A:A,'Product sheet'!B:B)</f>
        <v>Smartphone</v>
      </c>
    </row>
    <row r="13" spans="1:11" x14ac:dyDescent="0.3">
      <c r="A13" s="2" t="s">
        <v>84</v>
      </c>
      <c r="B13" s="3">
        <v>45669</v>
      </c>
      <c r="C13" s="2" t="s">
        <v>8</v>
      </c>
      <c r="D13" s="2" t="s">
        <v>41</v>
      </c>
      <c r="E13" s="5">
        <v>1</v>
      </c>
      <c r="F13" s="5">
        <v>56000</v>
      </c>
      <c r="G13">
        <f t="shared" si="0"/>
        <v>56000</v>
      </c>
      <c r="H13">
        <f>_xlfn.XLOOKUP(D13,'Product sheet'!A:A,'Product sheet'!D:D)</f>
        <v>45000</v>
      </c>
      <c r="I13">
        <f t="shared" si="1"/>
        <v>11000</v>
      </c>
      <c r="J13" s="16">
        <f t="shared" si="2"/>
        <v>0.19642857142857142</v>
      </c>
      <c r="K13" t="str">
        <f>_xlfn.XLOOKUP(D13,'Product sheet'!A:A,'Product sheet'!B:B)</f>
        <v>Laptop</v>
      </c>
    </row>
    <row r="14" spans="1:11" x14ac:dyDescent="0.3">
      <c r="A14" s="2" t="s">
        <v>85</v>
      </c>
      <c r="B14" s="3">
        <v>45670</v>
      </c>
      <c r="C14" s="2" t="s">
        <v>12</v>
      </c>
      <c r="D14" s="2" t="s">
        <v>60</v>
      </c>
      <c r="E14" s="5">
        <v>2</v>
      </c>
      <c r="F14" s="5">
        <v>15500</v>
      </c>
      <c r="G14">
        <f t="shared" si="0"/>
        <v>31000</v>
      </c>
      <c r="H14">
        <f>_xlfn.XLOOKUP(D14,'Product sheet'!A:A,'Product sheet'!D:D)</f>
        <v>12000</v>
      </c>
      <c r="I14">
        <f t="shared" si="1"/>
        <v>7000</v>
      </c>
      <c r="J14" s="16">
        <f t="shared" si="2"/>
        <v>0.22580645161290322</v>
      </c>
      <c r="K14" t="str">
        <f>_xlfn.XLOOKUP(D14,'Product sheet'!A:A,'Product sheet'!B:B)</f>
        <v>Monitor</v>
      </c>
    </row>
    <row r="15" spans="1:11" x14ac:dyDescent="0.3">
      <c r="A15" s="2" t="s">
        <v>86</v>
      </c>
      <c r="B15" s="3">
        <v>45671</v>
      </c>
      <c r="C15" s="2" t="s">
        <v>15</v>
      </c>
      <c r="D15" s="2" t="s">
        <v>48</v>
      </c>
      <c r="E15" s="5">
        <v>3</v>
      </c>
      <c r="F15" s="5">
        <v>5200</v>
      </c>
      <c r="G15">
        <f t="shared" si="0"/>
        <v>15600</v>
      </c>
      <c r="H15">
        <f>_xlfn.XLOOKUP(D15,'Product sheet'!A:A,'Product sheet'!D:D)</f>
        <v>3500</v>
      </c>
      <c r="I15">
        <f t="shared" si="1"/>
        <v>5100</v>
      </c>
      <c r="J15" s="16">
        <f t="shared" si="2"/>
        <v>0.32692307692307693</v>
      </c>
      <c r="K15" t="str">
        <f>_xlfn.XLOOKUP(D15,'Product sheet'!A:A,'Product sheet'!B:B)</f>
        <v>Office Chair</v>
      </c>
    </row>
    <row r="16" spans="1:11" x14ac:dyDescent="0.3">
      <c r="A16" s="2" t="s">
        <v>87</v>
      </c>
      <c r="B16" s="3">
        <v>45672</v>
      </c>
      <c r="C16" s="2" t="s">
        <v>18</v>
      </c>
      <c r="D16" s="2" t="s">
        <v>46</v>
      </c>
      <c r="E16" s="5">
        <v>4</v>
      </c>
      <c r="F16" s="5">
        <v>2600</v>
      </c>
      <c r="G16">
        <f t="shared" si="0"/>
        <v>10400</v>
      </c>
      <c r="H16">
        <f>_xlfn.XLOOKUP(D16,'Product sheet'!A:A,'Product sheet'!D:D)</f>
        <v>1500</v>
      </c>
      <c r="I16">
        <f t="shared" si="1"/>
        <v>4400</v>
      </c>
      <c r="J16" s="16">
        <f t="shared" si="2"/>
        <v>0.42307692307692307</v>
      </c>
      <c r="K16" t="str">
        <f>_xlfn.XLOOKUP(D16,'Product sheet'!A:A,'Product sheet'!B:B)</f>
        <v>Headphones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3D0-5593-4C75-83A3-2B82002203F4}">
  <dimension ref="A1:L3"/>
  <sheetViews>
    <sheetView workbookViewId="0">
      <selection activeCell="K18" sqref="K18"/>
    </sheetView>
  </sheetViews>
  <sheetFormatPr defaultRowHeight="14.4" x14ac:dyDescent="0.3"/>
  <cols>
    <col min="1" max="1" width="14.88671875" bestFit="1" customWidth="1"/>
    <col min="2" max="2" width="11.21875" customWidth="1"/>
    <col min="3" max="3" width="9.109375" bestFit="1" customWidth="1"/>
    <col min="4" max="4" width="7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1" spans="1:12" x14ac:dyDescent="0.3">
      <c r="B1" s="17" t="s">
        <v>93</v>
      </c>
    </row>
    <row r="2" spans="1:12" x14ac:dyDescent="0.3">
      <c r="B2" t="s">
        <v>47</v>
      </c>
      <c r="C2" t="s">
        <v>63</v>
      </c>
      <c r="D2" t="s">
        <v>42</v>
      </c>
      <c r="E2" t="s">
        <v>61</v>
      </c>
      <c r="F2" t="s">
        <v>56</v>
      </c>
      <c r="G2" t="s">
        <v>49</v>
      </c>
      <c r="H2" t="s">
        <v>59</v>
      </c>
      <c r="I2" t="s">
        <v>54</v>
      </c>
      <c r="J2" t="s">
        <v>45</v>
      </c>
      <c r="K2" t="s">
        <v>52</v>
      </c>
      <c r="L2" t="s">
        <v>92</v>
      </c>
    </row>
    <row r="3" spans="1:12" x14ac:dyDescent="0.3">
      <c r="A3" t="s">
        <v>91</v>
      </c>
      <c r="B3">
        <v>17900</v>
      </c>
      <c r="C3">
        <v>6000</v>
      </c>
      <c r="D3">
        <v>111000</v>
      </c>
      <c r="E3">
        <v>61000</v>
      </c>
      <c r="F3">
        <v>3500</v>
      </c>
      <c r="G3">
        <v>25600</v>
      </c>
      <c r="H3">
        <v>2700</v>
      </c>
      <c r="I3">
        <v>9500</v>
      </c>
      <c r="J3">
        <v>132000</v>
      </c>
      <c r="K3">
        <v>8500</v>
      </c>
      <c r="L3">
        <v>377700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Sheet</vt:lpstr>
      <vt:lpstr>Product sheet</vt:lpstr>
      <vt:lpstr>Sheet3</vt:lpstr>
      <vt:lpstr>Sheet9</vt:lpstr>
      <vt:lpstr>Orders Sheet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shahane</dc:creator>
  <cp:lastModifiedBy>sanskruti shahane</cp:lastModifiedBy>
  <dcterms:created xsi:type="dcterms:W3CDTF">2026-06-01T16:02:40Z</dcterms:created>
  <dcterms:modified xsi:type="dcterms:W3CDTF">2026-06-02T16:24:34Z</dcterms:modified>
</cp:coreProperties>
</file>